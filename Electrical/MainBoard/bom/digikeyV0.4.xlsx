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om\Desktop\Robot\Electrical\MainBoard\bom\"/>
    </mc:Choice>
  </mc:AlternateContent>
  <xr:revisionPtr revIDLastSave="0" documentId="13_ncr:9_{E3EDAB52-B999-4A7A-8C41-4CF59B9FDD9E}" xr6:coauthVersionLast="47" xr6:coauthVersionMax="47" xr10:uidLastSave="{00000000-0000-0000-0000-000000000000}"/>
  <bookViews>
    <workbookView xWindow="-96" yWindow="-96" windowWidth="23232" windowHeight="12432" xr2:uid="{7D06BEB8-044B-4D0E-AF42-3805D5215974}"/>
  </bookViews>
  <sheets>
    <sheet name="digikeyV0.4" sheetId="1" r:id="rId1"/>
  </sheets>
  <calcPr calcId="0"/>
</workbook>
</file>

<file path=xl/calcChain.xml><?xml version="1.0" encoding="utf-8"?>
<calcChain xmlns="http://schemas.openxmlformats.org/spreadsheetml/2006/main">
  <c r="I78" i="1" l="1"/>
  <c r="I79" i="1"/>
  <c r="I80" i="1"/>
  <c r="I81" i="1"/>
  <c r="I77" i="1"/>
  <c r="I69" i="1"/>
  <c r="I70" i="1"/>
  <c r="I71" i="1"/>
  <c r="I72" i="1"/>
  <c r="I73" i="1"/>
  <c r="I74" i="1"/>
  <c r="I75" i="1"/>
  <c r="I76" i="1"/>
  <c r="I68" i="1"/>
  <c r="I56" i="1"/>
  <c r="I57" i="1"/>
  <c r="I58" i="1"/>
  <c r="I59" i="1"/>
  <c r="I60" i="1"/>
  <c r="I61" i="1"/>
  <c r="I62" i="1"/>
  <c r="I63" i="1"/>
  <c r="I64" i="1"/>
  <c r="I65" i="1"/>
  <c r="I66" i="1"/>
  <c r="I67" i="1"/>
  <c r="I55" i="1"/>
  <c r="I50" i="1"/>
  <c r="I51" i="1"/>
  <c r="I52" i="1"/>
  <c r="I53" i="1"/>
  <c r="I5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2" i="1"/>
</calcChain>
</file>

<file path=xl/sharedStrings.xml><?xml version="1.0" encoding="utf-8"?>
<sst xmlns="http://schemas.openxmlformats.org/spreadsheetml/2006/main" count="478" uniqueCount="282">
  <si>
    <t>References</t>
  </si>
  <si>
    <t>Value</t>
  </si>
  <si>
    <t>Footprint</t>
  </si>
  <si>
    <t>Mfr</t>
  </si>
  <si>
    <t>Mfr P/N</t>
  </si>
  <si>
    <t>Supplier 1</t>
  </si>
  <si>
    <t>Supplier 1 P/N</t>
  </si>
  <si>
    <t>Quantity</t>
  </si>
  <si>
    <t>C1, C2, C3, C4, C5, C6, C7, C8, C9, C10, C19, C22, C23, C24, C27, C28, C30, C31, C32</t>
  </si>
  <si>
    <t>0.1 uF</t>
  </si>
  <si>
    <t>C_0805_2012Metric_Pad1.18x1.45mm_HandSolder</t>
  </si>
  <si>
    <t>Samsung Electro-Mechanics</t>
  </si>
  <si>
    <t>CL21B104KBCNNNC</t>
  </si>
  <si>
    <t>DigiKey</t>
  </si>
  <si>
    <t>1276-1003-1-ND</t>
  </si>
  <si>
    <t>C11, C12, C13, C14</t>
  </si>
  <si>
    <t>4.7 uF</t>
  </si>
  <si>
    <t>CL21A475KAQNNNE</t>
  </si>
  <si>
    <t>1276-1244-1-ND</t>
  </si>
  <si>
    <t>C20, C26</t>
  </si>
  <si>
    <t>0.47 uF</t>
  </si>
  <si>
    <t>CL21B474KBFNNNE</t>
  </si>
  <si>
    <t>1276-1039-1-ND</t>
  </si>
  <si>
    <t>C21, C29</t>
  </si>
  <si>
    <t>0.01 uF</t>
  </si>
  <si>
    <t>KEMET</t>
  </si>
  <si>
    <t>C0805C103K5RACTU</t>
  </si>
  <si>
    <t>399-C0805C103K5RACTUCT-ND</t>
  </si>
  <si>
    <t>C25, C33</t>
  </si>
  <si>
    <t>100 uF</t>
  </si>
  <si>
    <t>PCAP_8x10-ELECT_NCA-M</t>
  </si>
  <si>
    <t>Nichicon</t>
  </si>
  <si>
    <t>UWT1H101MNL1GS</t>
  </si>
  <si>
    <t>493-2226-1-ND</t>
  </si>
  <si>
    <t>C15</t>
  </si>
  <si>
    <t>10 uF</t>
  </si>
  <si>
    <t>CP_Radial_Tantal_D5.0mm_P2.50mm</t>
  </si>
  <si>
    <t>KYOCERA AVX</t>
  </si>
  <si>
    <t>TAP106K016CRW</t>
  </si>
  <si>
    <t>478-7366-1-ND</t>
  </si>
  <si>
    <t>R3, R4, R5, R6, R7, R8, R9, R10, R11, R15, R16</t>
  </si>
  <si>
    <t>130R</t>
  </si>
  <si>
    <t>R_0805_2012Metric_Pad1.20x1.40mm_HandSolder</t>
  </si>
  <si>
    <t>Stackpole Electronics Inc</t>
  </si>
  <si>
    <t>RMCF0805FT130R</t>
  </si>
  <si>
    <t>RMCF0805FT130RCT-ND</t>
  </si>
  <si>
    <t>R20, R21, R22, R23, R24, R30, R31, R32, R33, R34</t>
  </si>
  <si>
    <t>0R</t>
  </si>
  <si>
    <t>RMCF0805ZT0R00</t>
  </si>
  <si>
    <t>RMCF0805ZT0R00CT-ND</t>
  </si>
  <si>
    <t>R2, R12, R13, R14</t>
  </si>
  <si>
    <t>1k</t>
  </si>
  <si>
    <t>RMCF0805FT1K00</t>
  </si>
  <si>
    <t>RMCF0805FT1K00CT-ND</t>
  </si>
  <si>
    <t>R26, R36, R47, R49</t>
  </si>
  <si>
    <t>0.1R</t>
  </si>
  <si>
    <t>R_0603_1608Metric_Pad0.98x0.95mm_HandSolder</t>
  </si>
  <si>
    <t>Panasonic Electronic Components</t>
  </si>
  <si>
    <t>ERJ-6DSJR10V</t>
  </si>
  <si>
    <t>P19260CT-ND</t>
  </si>
  <si>
    <t>R1, R17, R27</t>
  </si>
  <si>
    <t>10k</t>
  </si>
  <si>
    <t>RMCF0805FT10K0</t>
  </si>
  <si>
    <t>RMCF0805FT10K0CT-ND</t>
  </si>
  <si>
    <t>R18, R28</t>
  </si>
  <si>
    <t>16k</t>
  </si>
  <si>
    <t>RMCF0805FT16K0</t>
  </si>
  <si>
    <t>738-RMCF0805FT16K0CT-ND</t>
  </si>
  <si>
    <t>R19, R29</t>
  </si>
  <si>
    <t>51k</t>
  </si>
  <si>
    <t>RMCF0805FT51K0</t>
  </si>
  <si>
    <t>RMCF0805FT51K0CT-ND</t>
  </si>
  <si>
    <t>R25, R35</t>
  </si>
  <si>
    <t>1M</t>
  </si>
  <si>
    <t>RMCF0805FG1M00</t>
  </si>
  <si>
    <t>RMCF0805FG1M00CT-ND</t>
  </si>
  <si>
    <t>R48, R50</t>
  </si>
  <si>
    <t>0.05 R</t>
  </si>
  <si>
    <t>ERJ-L06KJ50MV</t>
  </si>
  <si>
    <t>P50NLCT-ND</t>
  </si>
  <si>
    <t>D1, D2, D4, D6, D9, D10</t>
  </si>
  <si>
    <t>LED</t>
  </si>
  <si>
    <t>LED_0805_2012Metric_Pad1.15x1.40mm_HandSolder</t>
  </si>
  <si>
    <t>Harvatek Corporation</t>
  </si>
  <si>
    <t>B1701URO-20D000114U1930</t>
  </si>
  <si>
    <t>3147-B1701URO-20D000114U1930CT-ND</t>
  </si>
  <si>
    <t>D3, D5, D7</t>
  </si>
  <si>
    <t>B1701UD--20D000414U1930</t>
  </si>
  <si>
    <t>3147-B1701UD--20D000414U1930CT-ND</t>
  </si>
  <si>
    <t>D11</t>
  </si>
  <si>
    <t>Status_LED</t>
  </si>
  <si>
    <t>CONN3_22232031_MOL</t>
  </si>
  <si>
    <t>Kingbright</t>
  </si>
  <si>
    <t>WP59EGW/CA</t>
  </si>
  <si>
    <t>754-2191-ND</t>
  </si>
  <si>
    <t>U5, U6, U7, U8</t>
  </si>
  <si>
    <t>GSF7002DW</t>
  </si>
  <si>
    <t>SOT-363_SC-70-6</t>
  </si>
  <si>
    <t>Good-Ark Semiconductor</t>
  </si>
  <si>
    <t>4786-GSF7002DWCT-ND</t>
  </si>
  <si>
    <t>U2, U3</t>
  </si>
  <si>
    <t>AP2114HA-3.3TRG1</t>
  </si>
  <si>
    <t>SOT-223_DIO-M</t>
  </si>
  <si>
    <t>Diodes Incorporated</t>
  </si>
  <si>
    <t>AP2114HA-3.3TRG1DICT-ND</t>
  </si>
  <si>
    <t>U10, U13</t>
  </si>
  <si>
    <t>DRV8842PWPR</t>
  </si>
  <si>
    <t>PWP0028C_M</t>
  </si>
  <si>
    <t>Texas Instruments</t>
  </si>
  <si>
    <t>296-29575-1-ND</t>
  </si>
  <si>
    <t>U1</t>
  </si>
  <si>
    <t>PIC32MZ2048EFH144-I/PL</t>
  </si>
  <si>
    <t>LQFP144_PL_MCH-M</t>
  </si>
  <si>
    <t>Microchip Technology</t>
  </si>
  <si>
    <t>PIC32MZ2048EFH144-I/PL-ND</t>
  </si>
  <si>
    <t>U9</t>
  </si>
  <si>
    <t>MCP2221A-I_SL</t>
  </si>
  <si>
    <t>SOIC127P600X175-14N</t>
  </si>
  <si>
    <t>MCP2221A-I/SL</t>
  </si>
  <si>
    <t>MCP2221A-I/SL-ND</t>
  </si>
  <si>
    <t>F1</t>
  </si>
  <si>
    <t>5A Fuse</t>
  </si>
  <si>
    <t>FUSE_4628</t>
  </si>
  <si>
    <t>Keystone Electronics</t>
  </si>
  <si>
    <t>36-4628-ND</t>
  </si>
  <si>
    <t>SW4, SW5, SW6</t>
  </si>
  <si>
    <t>User_Button</t>
  </si>
  <si>
    <t>CONN_22232021_MOL</t>
  </si>
  <si>
    <t>Molex</t>
  </si>
  <si>
    <t>900-0022232021-ND</t>
  </si>
  <si>
    <t>SW1</t>
  </si>
  <si>
    <t>Reset</t>
  </si>
  <si>
    <t>SW_B3F-1000_OMR</t>
  </si>
  <si>
    <t>Omron Electronics Inc-EMC Div</t>
  </si>
  <si>
    <t>B3F-1020</t>
  </si>
  <si>
    <t>SW402-ND</t>
  </si>
  <si>
    <t>SW2</t>
  </si>
  <si>
    <t>5V Bypass</t>
  </si>
  <si>
    <t>SPDT_OS102011_CNK</t>
  </si>
  <si>
    <t>C&amp;K</t>
  </si>
  <si>
    <t>OS102011MS2QN1</t>
  </si>
  <si>
    <t>CKN9565-ND</t>
  </si>
  <si>
    <t>SW3</t>
  </si>
  <si>
    <t>All Power Switch</t>
  </si>
  <si>
    <t>26-60-4040_MOL</t>
  </si>
  <si>
    <t>E-Switch</t>
  </si>
  <si>
    <t>RA83231100</t>
  </si>
  <si>
    <t>EG5682-ND</t>
  </si>
  <si>
    <t>J20, U11, U12</t>
  </si>
  <si>
    <t>Conn_01x06, Quad_Encoder_Motor</t>
  </si>
  <si>
    <t>Molex_KK-254_AE-6410-06A_1x06_P2.54mm_Vertical</t>
  </si>
  <si>
    <t>WM4204-ND</t>
  </si>
  <si>
    <t>J2, J3</t>
  </si>
  <si>
    <t>3.3V Supply, 5V Supply</t>
  </si>
  <si>
    <t>PinHeader_2x05_P2.54mm_Vertical</t>
  </si>
  <si>
    <t>Adam Tech</t>
  </si>
  <si>
    <t>PH2-10-UA</t>
  </si>
  <si>
    <t>2057-PH2-10-UA-ND</t>
  </si>
  <si>
    <t>J4, J9</t>
  </si>
  <si>
    <t>USB_B_Micro</t>
  </si>
  <si>
    <t>AMPHENOL_10118193-0001LF</t>
  </si>
  <si>
    <t>Amphenol ICC (FCI)</t>
  </si>
  <si>
    <t>10118193-0001LF</t>
  </si>
  <si>
    <t>609-4616-1-ND</t>
  </si>
  <si>
    <t>J5, J6</t>
  </si>
  <si>
    <t>Battery1</t>
  </si>
  <si>
    <t>CONN_1017514</t>
  </si>
  <si>
    <t>Phoenix Contact</t>
  </si>
  <si>
    <t>277-17504-ND</t>
  </si>
  <si>
    <t>J1</t>
  </si>
  <si>
    <t>SNAP Program</t>
  </si>
  <si>
    <t>PinSocket_1x06_P2.54mm_Horizontal</t>
  </si>
  <si>
    <t>Sullins Connector Solutions</t>
  </si>
  <si>
    <t>PRPC006SBAN-M71RC</t>
  </si>
  <si>
    <t>S1111EC-06-ND</t>
  </si>
  <si>
    <t>J18</t>
  </si>
  <si>
    <t>Conn_01x04</t>
  </si>
  <si>
    <t>Molex_PicoBlade_53047-0410_1x04_P1.25mm_Vertical</t>
  </si>
  <si>
    <t>WM1733-ND</t>
  </si>
  <si>
    <t>J30</t>
  </si>
  <si>
    <t>Conn_01x08</t>
  </si>
  <si>
    <t>Molex_PicoBlade_53047-0810_1x08_P1.25mm_Vertical</t>
  </si>
  <si>
    <t>WM1737-ND</t>
  </si>
  <si>
    <t xml:space="preserve">User Button </t>
  </si>
  <si>
    <t>PS1024ALRED</t>
  </si>
  <si>
    <t>EG2025-ND</t>
  </si>
  <si>
    <t>2 Pin Female</t>
  </si>
  <si>
    <t>900-0022013027-ND</t>
  </si>
  <si>
    <t>3 Pin Female</t>
  </si>
  <si>
    <t>900-0022013037-ND</t>
  </si>
  <si>
    <t>6 Pin Female</t>
  </si>
  <si>
    <t>WM2015-ND</t>
  </si>
  <si>
    <t>3 Pin Male</t>
  </si>
  <si>
    <t>WM4201-ND</t>
  </si>
  <si>
    <t>Crimps</t>
  </si>
  <si>
    <t>WM2756CT-ND</t>
  </si>
  <si>
    <t>Big 4 Pin Male</t>
  </si>
  <si>
    <t>WM4622-ND</t>
  </si>
  <si>
    <t>Big 4 Pin Female</t>
  </si>
  <si>
    <t>WM2124-ND</t>
  </si>
  <si>
    <t>Big Crimps</t>
  </si>
  <si>
    <t>WM20948CT-ND</t>
  </si>
  <si>
    <t>Littlefuse Inc.</t>
  </si>
  <si>
    <t>0217005.MXP</t>
  </si>
  <si>
    <t>F1725-ND</t>
  </si>
  <si>
    <t>Picoblade Crimps</t>
  </si>
  <si>
    <t>8 pin picoblade male</t>
  </si>
  <si>
    <t>WM1726-ND</t>
  </si>
  <si>
    <t>WM1142CT-ND</t>
  </si>
  <si>
    <t>4 pin picoblade male</t>
  </si>
  <si>
    <t>WM1722-ND</t>
  </si>
  <si>
    <t>100 nF</t>
  </si>
  <si>
    <t>BMI323</t>
  </si>
  <si>
    <t>Bosch</t>
  </si>
  <si>
    <t>Digikey</t>
  </si>
  <si>
    <t>828-BMI323CT-ND</t>
  </si>
  <si>
    <t>Conn_01x08_Pin</t>
  </si>
  <si>
    <t>WM1748-ND</t>
  </si>
  <si>
    <t>Conn_01x08_RCPT</t>
  </si>
  <si>
    <t>Conn_Crimp</t>
  </si>
  <si>
    <t>IMU-C1, C2</t>
  </si>
  <si>
    <t>IMU-U1</t>
  </si>
  <si>
    <t>IMU-J3</t>
  </si>
  <si>
    <t>IMU-J3-1</t>
  </si>
  <si>
    <t>IMU-J3-2</t>
  </si>
  <si>
    <t>C1, C2, C3, C4, C5, C6</t>
  </si>
  <si>
    <t>R4, R5</t>
  </si>
  <si>
    <t>R1</t>
  </si>
  <si>
    <t>RMCF0805JT10K0</t>
  </si>
  <si>
    <t>RMCF0805JT10K0CT-ND</t>
  </si>
  <si>
    <t>R2</t>
  </si>
  <si>
    <t>R3</t>
  </si>
  <si>
    <t>100k</t>
  </si>
  <si>
    <t>RMCF0805FG100K</t>
  </si>
  <si>
    <t>RMCF0805FG100KCT-ND</t>
  </si>
  <si>
    <t>D1, D2</t>
  </si>
  <si>
    <t>IC1</t>
  </si>
  <si>
    <t>PIC32MK0128MCA048-I_Y8X</t>
  </si>
  <si>
    <t>PIC32MK0128MCA048T-I/Y8X</t>
  </si>
  <si>
    <t>150-PIC32MK0128MCA048T-I/Y8XCT-ND</t>
  </si>
  <si>
    <t>J2, J3, J5</t>
  </si>
  <si>
    <t>Conn_01x06</t>
  </si>
  <si>
    <t>Conn_01x05_Pin</t>
  </si>
  <si>
    <t>10129379-910002BLF</t>
  </si>
  <si>
    <t>10129379-910002BLF-ND</t>
  </si>
  <si>
    <t>J6</t>
  </si>
  <si>
    <t>Conn2MCU-Female</t>
  </si>
  <si>
    <t>J7</t>
  </si>
  <si>
    <t>Conn2MCU-Crimp</t>
  </si>
  <si>
    <t>WM19393CT-ND</t>
  </si>
  <si>
    <t>C2, C3</t>
  </si>
  <si>
    <t>1uF</t>
  </si>
  <si>
    <t>1276-1066-1-ND</t>
  </si>
  <si>
    <t>C1</t>
  </si>
  <si>
    <t>0.1uF</t>
  </si>
  <si>
    <t>R2, R3</t>
  </si>
  <si>
    <t>YAGEO</t>
  </si>
  <si>
    <t>RC0805FR-074R7L</t>
  </si>
  <si>
    <t>311-4.70CRCT-ND</t>
  </si>
  <si>
    <t>SGP41-D-R4</t>
  </si>
  <si>
    <t>Sensirion AG</t>
  </si>
  <si>
    <t>1649-SGP41-D-R4CT-ND</t>
  </si>
  <si>
    <t>U2</t>
  </si>
  <si>
    <t>SHT40-AD1B-R3</t>
  </si>
  <si>
    <t>1649-SHT40-AD1B-R3CT-ND</t>
  </si>
  <si>
    <t>Conn_01x04_Pin</t>
  </si>
  <si>
    <t>WM1744-ND</t>
  </si>
  <si>
    <t>J1-1</t>
  </si>
  <si>
    <t>Conn_01x04_RCPT</t>
  </si>
  <si>
    <t>J1-2</t>
  </si>
  <si>
    <t>4.7R</t>
  </si>
  <si>
    <t>MK1</t>
  </si>
  <si>
    <t>ICS-43434</t>
  </si>
  <si>
    <t>MIC_ICS-43434</t>
  </si>
  <si>
    <t>TDK InvenSense</t>
  </si>
  <si>
    <t>1428-1066-1-ND</t>
  </si>
  <si>
    <t>Conn2MCU</t>
  </si>
  <si>
    <t>CONN_22-05-3061_MOL</t>
  </si>
  <si>
    <t>WM4304-ND</t>
  </si>
  <si>
    <t>Female</t>
  </si>
  <si>
    <t>Total Quantity</t>
  </si>
  <si>
    <t>Adjusted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</si>
</sst>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0" xfId="0" applyFill="1"/>
    <xf numFmtId="0" fontId="0" fillId="0" borderId="0" xfId="0" applyFill="1" applyBorder="1"/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3B6A-387A-4E90-A1D9-8231C6AD9405}">
  <dimension ref="A1:J81"/>
  <sheetViews>
    <sheetView tabSelected="1" workbookViewId="0">
      <selection activeCell="J78" sqref="J78"/>
    </sheetView>
  </sheetViews>
  <sheetFormatPr defaultRowHeight="14.4" x14ac:dyDescent="0.55000000000000004"/>
  <cols>
    <col min="1" max="2" width="38.7890625" customWidth="1"/>
    <col min="3" max="3" width="22.7890625" customWidth="1"/>
    <col min="5" max="5" width="9.68359375" bestFit="1" customWidth="1"/>
    <col min="7" max="7" width="16.3125" customWidth="1"/>
    <col min="9" max="9" width="11.5234375" bestFit="1" customWidth="1"/>
    <col min="10" max="10" width="14.57812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280</v>
      </c>
      <c r="J1" t="s">
        <v>281</v>
      </c>
    </row>
    <row r="2" spans="1:10" x14ac:dyDescent="0.5500000000000000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19</v>
      </c>
      <c r="I2">
        <f>H2*3</f>
        <v>57</v>
      </c>
      <c r="J2">
        <v>100</v>
      </c>
    </row>
    <row r="3" spans="1:10" x14ac:dyDescent="0.55000000000000004">
      <c r="A3" t="s">
        <v>15</v>
      </c>
      <c r="B3" t="s">
        <v>16</v>
      </c>
      <c r="C3" t="s">
        <v>10</v>
      </c>
      <c r="D3" t="s">
        <v>11</v>
      </c>
      <c r="E3" t="s">
        <v>17</v>
      </c>
      <c r="F3" t="s">
        <v>13</v>
      </c>
      <c r="G3" t="s">
        <v>18</v>
      </c>
      <c r="H3">
        <v>4</v>
      </c>
      <c r="I3">
        <f t="shared" ref="I3:I54" si="0">H3*3</f>
        <v>12</v>
      </c>
      <c r="J3">
        <v>15</v>
      </c>
    </row>
    <row r="4" spans="1:10" x14ac:dyDescent="0.55000000000000004">
      <c r="A4" t="s">
        <v>19</v>
      </c>
      <c r="B4" t="s">
        <v>20</v>
      </c>
      <c r="C4" t="s">
        <v>10</v>
      </c>
      <c r="D4" t="s">
        <v>11</v>
      </c>
      <c r="E4" t="s">
        <v>21</v>
      </c>
      <c r="F4" t="s">
        <v>13</v>
      </c>
      <c r="G4" t="s">
        <v>22</v>
      </c>
      <c r="H4">
        <v>2</v>
      </c>
      <c r="I4">
        <f t="shared" si="0"/>
        <v>6</v>
      </c>
      <c r="J4">
        <v>10</v>
      </c>
    </row>
    <row r="5" spans="1:10" x14ac:dyDescent="0.55000000000000004">
      <c r="A5" t="s">
        <v>23</v>
      </c>
      <c r="B5" t="s">
        <v>24</v>
      </c>
      <c r="C5" t="s">
        <v>10</v>
      </c>
      <c r="D5" t="s">
        <v>25</v>
      </c>
      <c r="E5" t="s">
        <v>26</v>
      </c>
      <c r="F5" t="s">
        <v>13</v>
      </c>
      <c r="G5" t="s">
        <v>27</v>
      </c>
      <c r="H5">
        <v>2</v>
      </c>
      <c r="I5">
        <f t="shared" si="0"/>
        <v>6</v>
      </c>
      <c r="J5">
        <v>10</v>
      </c>
    </row>
    <row r="6" spans="1:10" x14ac:dyDescent="0.55000000000000004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13</v>
      </c>
      <c r="G6" t="s">
        <v>33</v>
      </c>
      <c r="H6">
        <v>2</v>
      </c>
      <c r="I6">
        <f t="shared" si="0"/>
        <v>6</v>
      </c>
      <c r="J6">
        <v>0</v>
      </c>
    </row>
    <row r="7" spans="1:10" x14ac:dyDescent="0.55000000000000004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13</v>
      </c>
      <c r="G7" t="s">
        <v>39</v>
      </c>
      <c r="H7">
        <v>1</v>
      </c>
      <c r="I7">
        <f t="shared" si="0"/>
        <v>3</v>
      </c>
      <c r="J7">
        <v>0</v>
      </c>
    </row>
    <row r="8" spans="1:10" x14ac:dyDescent="0.55000000000000004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13</v>
      </c>
      <c r="G8" t="s">
        <v>45</v>
      </c>
      <c r="H8">
        <v>11</v>
      </c>
      <c r="I8">
        <f t="shared" si="0"/>
        <v>33</v>
      </c>
      <c r="J8">
        <v>50</v>
      </c>
    </row>
    <row r="9" spans="1:10" x14ac:dyDescent="0.55000000000000004">
      <c r="A9" t="s">
        <v>46</v>
      </c>
      <c r="B9" t="s">
        <v>47</v>
      </c>
      <c r="C9" t="s">
        <v>42</v>
      </c>
      <c r="D9" t="s">
        <v>43</v>
      </c>
      <c r="E9" t="s">
        <v>48</v>
      </c>
      <c r="F9" t="s">
        <v>13</v>
      </c>
      <c r="G9" t="s">
        <v>49</v>
      </c>
      <c r="H9">
        <v>10</v>
      </c>
      <c r="I9">
        <f t="shared" si="0"/>
        <v>30</v>
      </c>
      <c r="J9">
        <v>50</v>
      </c>
    </row>
    <row r="10" spans="1:10" x14ac:dyDescent="0.55000000000000004">
      <c r="A10" t="s">
        <v>50</v>
      </c>
      <c r="B10" t="s">
        <v>51</v>
      </c>
      <c r="C10" t="s">
        <v>42</v>
      </c>
      <c r="D10" t="s">
        <v>43</v>
      </c>
      <c r="E10" t="s">
        <v>52</v>
      </c>
      <c r="F10" t="s">
        <v>13</v>
      </c>
      <c r="G10" t="s">
        <v>53</v>
      </c>
      <c r="H10">
        <v>4</v>
      </c>
      <c r="I10">
        <f t="shared" si="0"/>
        <v>12</v>
      </c>
      <c r="J10">
        <v>15</v>
      </c>
    </row>
    <row r="11" spans="1:10" x14ac:dyDescent="0.55000000000000004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13</v>
      </c>
      <c r="G11" t="s">
        <v>59</v>
      </c>
      <c r="H11">
        <v>4</v>
      </c>
      <c r="I11">
        <f t="shared" si="0"/>
        <v>12</v>
      </c>
      <c r="J11">
        <v>15</v>
      </c>
    </row>
    <row r="12" spans="1:10" x14ac:dyDescent="0.55000000000000004">
      <c r="A12" t="s">
        <v>60</v>
      </c>
      <c r="B12" t="s">
        <v>61</v>
      </c>
      <c r="C12" t="s">
        <v>42</v>
      </c>
      <c r="D12" t="s">
        <v>43</v>
      </c>
      <c r="E12" t="s">
        <v>62</v>
      </c>
      <c r="F12" t="s">
        <v>13</v>
      </c>
      <c r="G12" t="s">
        <v>63</v>
      </c>
      <c r="H12">
        <v>3</v>
      </c>
      <c r="I12">
        <f t="shared" si="0"/>
        <v>9</v>
      </c>
      <c r="J12">
        <v>25</v>
      </c>
    </row>
    <row r="13" spans="1:10" x14ac:dyDescent="0.55000000000000004">
      <c r="A13" t="s">
        <v>64</v>
      </c>
      <c r="B13" t="s">
        <v>65</v>
      </c>
      <c r="C13" t="s">
        <v>42</v>
      </c>
      <c r="D13" t="s">
        <v>43</v>
      </c>
      <c r="E13" t="s">
        <v>66</v>
      </c>
      <c r="F13" t="s">
        <v>13</v>
      </c>
      <c r="G13" t="s">
        <v>67</v>
      </c>
      <c r="H13">
        <v>2</v>
      </c>
      <c r="I13">
        <f t="shared" si="0"/>
        <v>6</v>
      </c>
      <c r="J13">
        <v>10</v>
      </c>
    </row>
    <row r="14" spans="1:10" x14ac:dyDescent="0.55000000000000004">
      <c r="A14" t="s">
        <v>68</v>
      </c>
      <c r="B14" t="s">
        <v>69</v>
      </c>
      <c r="C14" t="s">
        <v>42</v>
      </c>
      <c r="D14" t="s">
        <v>43</v>
      </c>
      <c r="E14" t="s">
        <v>70</v>
      </c>
      <c r="F14" t="s">
        <v>13</v>
      </c>
      <c r="G14" t="s">
        <v>71</v>
      </c>
      <c r="H14">
        <v>2</v>
      </c>
      <c r="I14">
        <f t="shared" si="0"/>
        <v>6</v>
      </c>
      <c r="J14">
        <v>10</v>
      </c>
    </row>
    <row r="15" spans="1:10" x14ac:dyDescent="0.55000000000000004">
      <c r="A15" t="s">
        <v>72</v>
      </c>
      <c r="B15" t="s">
        <v>73</v>
      </c>
      <c r="C15" t="s">
        <v>42</v>
      </c>
      <c r="D15" t="s">
        <v>43</v>
      </c>
      <c r="E15" t="s">
        <v>74</v>
      </c>
      <c r="F15" t="s">
        <v>13</v>
      </c>
      <c r="G15" t="s">
        <v>75</v>
      </c>
      <c r="H15">
        <v>2</v>
      </c>
      <c r="I15">
        <f t="shared" si="0"/>
        <v>6</v>
      </c>
      <c r="J15">
        <v>10</v>
      </c>
    </row>
    <row r="16" spans="1:10" x14ac:dyDescent="0.55000000000000004">
      <c r="A16" t="s">
        <v>76</v>
      </c>
      <c r="B16" t="s">
        <v>77</v>
      </c>
      <c r="C16" t="s">
        <v>56</v>
      </c>
      <c r="D16" t="s">
        <v>57</v>
      </c>
      <c r="E16" t="s">
        <v>78</v>
      </c>
      <c r="F16" t="s">
        <v>13</v>
      </c>
      <c r="G16" t="s">
        <v>79</v>
      </c>
      <c r="H16">
        <v>2</v>
      </c>
      <c r="I16">
        <f t="shared" si="0"/>
        <v>6</v>
      </c>
      <c r="J16">
        <v>10</v>
      </c>
    </row>
    <row r="17" spans="1:10" x14ac:dyDescent="0.55000000000000004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13</v>
      </c>
      <c r="G17" t="s">
        <v>85</v>
      </c>
      <c r="H17">
        <v>6</v>
      </c>
      <c r="I17">
        <f t="shared" si="0"/>
        <v>18</v>
      </c>
      <c r="J17">
        <v>22</v>
      </c>
    </row>
    <row r="18" spans="1:10" x14ac:dyDescent="0.55000000000000004">
      <c r="A18" t="s">
        <v>86</v>
      </c>
      <c r="B18" t="s">
        <v>81</v>
      </c>
      <c r="C18" t="s">
        <v>82</v>
      </c>
      <c r="D18" t="s">
        <v>83</v>
      </c>
      <c r="E18" t="s">
        <v>87</v>
      </c>
      <c r="F18" t="s">
        <v>13</v>
      </c>
      <c r="G18" t="s">
        <v>88</v>
      </c>
      <c r="H18">
        <v>3</v>
      </c>
      <c r="I18">
        <f t="shared" si="0"/>
        <v>9</v>
      </c>
      <c r="J18">
        <v>10</v>
      </c>
    </row>
    <row r="19" spans="1:10" x14ac:dyDescent="0.55000000000000004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13</v>
      </c>
      <c r="G19" t="s">
        <v>94</v>
      </c>
      <c r="H19">
        <v>1</v>
      </c>
      <c r="I19">
        <f t="shared" si="0"/>
        <v>3</v>
      </c>
      <c r="J19">
        <v>3</v>
      </c>
    </row>
    <row r="20" spans="1:10" s="2" customFormat="1" x14ac:dyDescent="0.55000000000000004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96</v>
      </c>
      <c r="F20" s="2" t="s">
        <v>13</v>
      </c>
      <c r="G20" s="2" t="s">
        <v>99</v>
      </c>
      <c r="H20" s="2">
        <v>4</v>
      </c>
      <c r="I20">
        <f t="shared" si="0"/>
        <v>12</v>
      </c>
      <c r="J20" s="2">
        <v>0</v>
      </c>
    </row>
    <row r="21" spans="1:10" s="2" customFormat="1" x14ac:dyDescent="0.55000000000000004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101</v>
      </c>
      <c r="F21" s="2" t="s">
        <v>13</v>
      </c>
      <c r="G21" s="2" t="s">
        <v>104</v>
      </c>
      <c r="H21" s="2">
        <v>2</v>
      </c>
      <c r="I21">
        <f t="shared" si="0"/>
        <v>6</v>
      </c>
      <c r="J21" s="2">
        <v>0</v>
      </c>
    </row>
    <row r="22" spans="1:10" x14ac:dyDescent="0.55000000000000004">
      <c r="A22" t="s">
        <v>105</v>
      </c>
      <c r="B22" t="s">
        <v>106</v>
      </c>
      <c r="C22" t="s">
        <v>107</v>
      </c>
      <c r="D22" t="s">
        <v>108</v>
      </c>
      <c r="E22" t="s">
        <v>106</v>
      </c>
      <c r="F22" t="s">
        <v>13</v>
      </c>
      <c r="G22" t="s">
        <v>109</v>
      </c>
      <c r="H22">
        <v>2</v>
      </c>
      <c r="I22">
        <f t="shared" si="0"/>
        <v>6</v>
      </c>
      <c r="J22" s="2">
        <v>3</v>
      </c>
    </row>
    <row r="23" spans="1:10" x14ac:dyDescent="0.55000000000000004">
      <c r="A23" t="s">
        <v>110</v>
      </c>
      <c r="B23" t="s">
        <v>111</v>
      </c>
      <c r="C23" t="s">
        <v>112</v>
      </c>
      <c r="D23" t="s">
        <v>113</v>
      </c>
      <c r="E23" t="s">
        <v>111</v>
      </c>
      <c r="F23" t="s">
        <v>13</v>
      </c>
      <c r="G23" t="s">
        <v>114</v>
      </c>
      <c r="H23">
        <v>1</v>
      </c>
      <c r="I23">
        <f t="shared" si="0"/>
        <v>3</v>
      </c>
      <c r="J23">
        <v>2</v>
      </c>
    </row>
    <row r="24" spans="1:10" x14ac:dyDescent="0.55000000000000004">
      <c r="A24" t="s">
        <v>115</v>
      </c>
      <c r="B24" t="s">
        <v>116</v>
      </c>
      <c r="C24" t="s">
        <v>117</v>
      </c>
      <c r="D24" t="s">
        <v>113</v>
      </c>
      <c r="E24" t="s">
        <v>118</v>
      </c>
      <c r="F24" t="s">
        <v>13</v>
      </c>
      <c r="G24" t="s">
        <v>119</v>
      </c>
      <c r="H24">
        <v>1</v>
      </c>
      <c r="I24">
        <f t="shared" si="0"/>
        <v>3</v>
      </c>
      <c r="J24">
        <v>2</v>
      </c>
    </row>
    <row r="25" spans="1:10" x14ac:dyDescent="0.55000000000000004">
      <c r="A25" t="s">
        <v>120</v>
      </c>
      <c r="B25" t="s">
        <v>121</v>
      </c>
      <c r="C25" t="s">
        <v>122</v>
      </c>
      <c r="D25" t="s">
        <v>123</v>
      </c>
      <c r="E25">
        <v>4628</v>
      </c>
      <c r="F25" t="s">
        <v>13</v>
      </c>
      <c r="G25" t="s">
        <v>124</v>
      </c>
      <c r="H25">
        <v>1</v>
      </c>
      <c r="I25">
        <f t="shared" si="0"/>
        <v>3</v>
      </c>
      <c r="J25">
        <v>2</v>
      </c>
    </row>
    <row r="26" spans="1:10" x14ac:dyDescent="0.55000000000000004">
      <c r="A26" t="s">
        <v>125</v>
      </c>
      <c r="B26" t="s">
        <v>126</v>
      </c>
      <c r="C26" t="s">
        <v>127</v>
      </c>
      <c r="D26" t="s">
        <v>128</v>
      </c>
      <c r="E26">
        <v>22232021</v>
      </c>
      <c r="F26" t="s">
        <v>13</v>
      </c>
      <c r="G26" t="s">
        <v>129</v>
      </c>
      <c r="H26">
        <v>3</v>
      </c>
      <c r="I26">
        <f t="shared" si="0"/>
        <v>9</v>
      </c>
      <c r="J26">
        <v>0</v>
      </c>
    </row>
    <row r="27" spans="1:10" x14ac:dyDescent="0.55000000000000004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</v>
      </c>
      <c r="G27" t="s">
        <v>135</v>
      </c>
      <c r="H27">
        <v>1</v>
      </c>
      <c r="I27">
        <f t="shared" si="0"/>
        <v>3</v>
      </c>
      <c r="J27">
        <v>0</v>
      </c>
    </row>
    <row r="28" spans="1:10" x14ac:dyDescent="0.55000000000000004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</v>
      </c>
      <c r="G28" t="s">
        <v>141</v>
      </c>
      <c r="H28">
        <v>1</v>
      </c>
      <c r="I28">
        <f t="shared" si="0"/>
        <v>3</v>
      </c>
      <c r="J28">
        <v>3</v>
      </c>
    </row>
    <row r="29" spans="1:10" x14ac:dyDescent="0.55000000000000004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</v>
      </c>
      <c r="G29" t="s">
        <v>147</v>
      </c>
      <c r="H29">
        <v>1</v>
      </c>
      <c r="I29">
        <f t="shared" si="0"/>
        <v>3</v>
      </c>
      <c r="J29">
        <v>3</v>
      </c>
    </row>
    <row r="30" spans="1:10" x14ac:dyDescent="0.55000000000000004">
      <c r="A30" t="s">
        <v>148</v>
      </c>
      <c r="B30" t="s">
        <v>149</v>
      </c>
      <c r="C30" t="s">
        <v>150</v>
      </c>
      <c r="D30" t="s">
        <v>128</v>
      </c>
      <c r="E30">
        <v>22232061</v>
      </c>
      <c r="F30" t="s">
        <v>13</v>
      </c>
      <c r="G30" t="s">
        <v>151</v>
      </c>
      <c r="H30">
        <v>3</v>
      </c>
      <c r="I30">
        <f t="shared" si="0"/>
        <v>9</v>
      </c>
      <c r="J30">
        <v>9</v>
      </c>
    </row>
    <row r="31" spans="1:10" x14ac:dyDescent="0.55000000000000004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</v>
      </c>
      <c r="G31" t="s">
        <v>157</v>
      </c>
      <c r="H31">
        <v>2</v>
      </c>
      <c r="I31">
        <f t="shared" si="0"/>
        <v>6</v>
      </c>
      <c r="J31">
        <v>6</v>
      </c>
    </row>
    <row r="32" spans="1:10" x14ac:dyDescent="0.55000000000000004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13</v>
      </c>
      <c r="G32" t="s">
        <v>163</v>
      </c>
      <c r="H32">
        <v>2</v>
      </c>
      <c r="I32">
        <f t="shared" si="0"/>
        <v>6</v>
      </c>
      <c r="J32">
        <v>4</v>
      </c>
    </row>
    <row r="33" spans="1:10" x14ac:dyDescent="0.55000000000000004">
      <c r="A33" t="s">
        <v>164</v>
      </c>
      <c r="B33" t="s">
        <v>165</v>
      </c>
      <c r="C33" t="s">
        <v>166</v>
      </c>
      <c r="D33" t="s">
        <v>167</v>
      </c>
      <c r="E33">
        <v>1017514</v>
      </c>
      <c r="F33" t="s">
        <v>13</v>
      </c>
      <c r="G33" t="s">
        <v>168</v>
      </c>
      <c r="H33">
        <v>2</v>
      </c>
      <c r="I33">
        <f t="shared" si="0"/>
        <v>6</v>
      </c>
      <c r="J33">
        <v>3</v>
      </c>
    </row>
    <row r="34" spans="1:10" x14ac:dyDescent="0.55000000000000004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13</v>
      </c>
      <c r="G34" t="s">
        <v>174</v>
      </c>
      <c r="H34">
        <v>1</v>
      </c>
      <c r="I34">
        <f t="shared" si="0"/>
        <v>3</v>
      </c>
      <c r="J34">
        <v>0</v>
      </c>
    </row>
    <row r="35" spans="1:10" x14ac:dyDescent="0.55000000000000004">
      <c r="A35" t="s">
        <v>175</v>
      </c>
      <c r="B35" t="s">
        <v>176</v>
      </c>
      <c r="C35" t="s">
        <v>177</v>
      </c>
      <c r="D35" t="s">
        <v>128</v>
      </c>
      <c r="E35">
        <v>530470410</v>
      </c>
      <c r="F35" t="s">
        <v>13</v>
      </c>
      <c r="G35" t="s">
        <v>178</v>
      </c>
      <c r="H35">
        <v>1</v>
      </c>
      <c r="I35">
        <f t="shared" si="0"/>
        <v>3</v>
      </c>
      <c r="J35">
        <v>4</v>
      </c>
    </row>
    <row r="36" spans="1:10" x14ac:dyDescent="0.55000000000000004">
      <c r="A36" t="s">
        <v>179</v>
      </c>
      <c r="B36" t="s">
        <v>180</v>
      </c>
      <c r="C36" t="s">
        <v>181</v>
      </c>
      <c r="D36" t="s">
        <v>128</v>
      </c>
      <c r="E36">
        <v>530470810</v>
      </c>
      <c r="F36" t="s">
        <v>13</v>
      </c>
      <c r="G36" t="s">
        <v>182</v>
      </c>
      <c r="H36">
        <v>1</v>
      </c>
      <c r="I36">
        <f t="shared" si="0"/>
        <v>3</v>
      </c>
      <c r="J36">
        <v>4</v>
      </c>
    </row>
    <row r="37" spans="1:10" x14ac:dyDescent="0.55000000000000004">
      <c r="C37" t="s">
        <v>183</v>
      </c>
      <c r="D37" t="s">
        <v>145</v>
      </c>
      <c r="E37" t="s">
        <v>184</v>
      </c>
      <c r="F37" t="s">
        <v>13</v>
      </c>
      <c r="G37" t="s">
        <v>185</v>
      </c>
      <c r="H37">
        <v>3</v>
      </c>
      <c r="I37">
        <f t="shared" si="0"/>
        <v>9</v>
      </c>
      <c r="J37">
        <v>6</v>
      </c>
    </row>
    <row r="38" spans="1:10" x14ac:dyDescent="0.55000000000000004">
      <c r="C38" t="s">
        <v>186</v>
      </c>
      <c r="D38" t="s">
        <v>128</v>
      </c>
      <c r="E38">
        <v>22013027</v>
      </c>
      <c r="F38" t="s">
        <v>13</v>
      </c>
      <c r="G38" t="s">
        <v>187</v>
      </c>
      <c r="H38">
        <v>3</v>
      </c>
      <c r="I38">
        <f t="shared" si="0"/>
        <v>9</v>
      </c>
      <c r="J38">
        <v>0</v>
      </c>
    </row>
    <row r="39" spans="1:10" x14ac:dyDescent="0.55000000000000004">
      <c r="C39" t="s">
        <v>188</v>
      </c>
      <c r="D39" t="s">
        <v>128</v>
      </c>
      <c r="E39">
        <v>22013037</v>
      </c>
      <c r="F39" t="s">
        <v>13</v>
      </c>
      <c r="G39" t="s">
        <v>189</v>
      </c>
      <c r="H39">
        <v>1</v>
      </c>
      <c r="I39">
        <f t="shared" si="0"/>
        <v>3</v>
      </c>
      <c r="J39">
        <v>0</v>
      </c>
    </row>
    <row r="40" spans="1:10" x14ac:dyDescent="0.55000000000000004">
      <c r="C40" t="s">
        <v>190</v>
      </c>
      <c r="D40" t="s">
        <v>128</v>
      </c>
      <c r="E40">
        <v>22012067</v>
      </c>
      <c r="F40" t="s">
        <v>13</v>
      </c>
      <c r="G40" t="s">
        <v>191</v>
      </c>
      <c r="H40">
        <v>3</v>
      </c>
      <c r="I40">
        <f t="shared" si="0"/>
        <v>9</v>
      </c>
      <c r="J40">
        <v>11</v>
      </c>
    </row>
    <row r="41" spans="1:10" x14ac:dyDescent="0.55000000000000004">
      <c r="C41" t="s">
        <v>192</v>
      </c>
      <c r="D41" t="s">
        <v>128</v>
      </c>
      <c r="E41">
        <v>22232031</v>
      </c>
      <c r="F41" t="s">
        <v>13</v>
      </c>
      <c r="G41" t="s">
        <v>193</v>
      </c>
      <c r="H41">
        <v>1</v>
      </c>
      <c r="I41">
        <f t="shared" si="0"/>
        <v>3</v>
      </c>
      <c r="J41">
        <v>3</v>
      </c>
    </row>
    <row r="42" spans="1:10" x14ac:dyDescent="0.55000000000000004">
      <c r="C42" t="s">
        <v>200</v>
      </c>
      <c r="D42" t="s">
        <v>128</v>
      </c>
      <c r="E42">
        <v>8650804</v>
      </c>
      <c r="F42" t="s">
        <v>13</v>
      </c>
      <c r="G42" t="s">
        <v>195</v>
      </c>
      <c r="H42">
        <v>30</v>
      </c>
      <c r="I42">
        <f t="shared" si="0"/>
        <v>90</v>
      </c>
      <c r="J42">
        <v>150</v>
      </c>
    </row>
    <row r="43" spans="1:10" x14ac:dyDescent="0.55000000000000004">
      <c r="C43" t="s">
        <v>205</v>
      </c>
      <c r="D43" t="s">
        <v>128</v>
      </c>
      <c r="E43">
        <v>500798000</v>
      </c>
      <c r="F43" t="s">
        <v>13</v>
      </c>
      <c r="G43" t="s">
        <v>208</v>
      </c>
      <c r="H43">
        <v>12</v>
      </c>
      <c r="I43">
        <f t="shared" si="0"/>
        <v>36</v>
      </c>
      <c r="J43">
        <v>100</v>
      </c>
    </row>
    <row r="44" spans="1:10" x14ac:dyDescent="0.55000000000000004">
      <c r="C44" t="s">
        <v>206</v>
      </c>
      <c r="D44" t="s">
        <v>128</v>
      </c>
      <c r="E44">
        <v>510210800</v>
      </c>
      <c r="F44" t="s">
        <v>13</v>
      </c>
      <c r="G44" t="s">
        <v>207</v>
      </c>
      <c r="H44">
        <v>1</v>
      </c>
      <c r="I44">
        <f t="shared" si="0"/>
        <v>3</v>
      </c>
      <c r="J44">
        <v>8</v>
      </c>
    </row>
    <row r="45" spans="1:10" x14ac:dyDescent="0.55000000000000004">
      <c r="C45" t="s">
        <v>209</v>
      </c>
      <c r="D45" t="s">
        <v>128</v>
      </c>
      <c r="E45">
        <v>510210400</v>
      </c>
      <c r="F45" t="s">
        <v>13</v>
      </c>
      <c r="G45" t="s">
        <v>210</v>
      </c>
      <c r="H45">
        <v>1</v>
      </c>
      <c r="I45">
        <f t="shared" si="0"/>
        <v>3</v>
      </c>
      <c r="J45">
        <v>11</v>
      </c>
    </row>
    <row r="46" spans="1:10" x14ac:dyDescent="0.55000000000000004">
      <c r="C46" t="s">
        <v>196</v>
      </c>
      <c r="D46" t="s">
        <v>128</v>
      </c>
      <c r="E46">
        <v>26604040</v>
      </c>
      <c r="F46" t="s">
        <v>13</v>
      </c>
      <c r="G46" t="s">
        <v>197</v>
      </c>
      <c r="H46">
        <v>1</v>
      </c>
      <c r="I46">
        <f t="shared" si="0"/>
        <v>3</v>
      </c>
      <c r="J46">
        <v>2</v>
      </c>
    </row>
    <row r="47" spans="1:10" x14ac:dyDescent="0.55000000000000004">
      <c r="C47" t="s">
        <v>198</v>
      </c>
      <c r="D47" t="s">
        <v>128</v>
      </c>
      <c r="E47">
        <v>9508041</v>
      </c>
      <c r="F47" t="s">
        <v>13</v>
      </c>
      <c r="G47" t="s">
        <v>199</v>
      </c>
      <c r="H47">
        <v>1</v>
      </c>
      <c r="I47">
        <f t="shared" si="0"/>
        <v>3</v>
      </c>
      <c r="J47">
        <v>2</v>
      </c>
    </row>
    <row r="48" spans="1:10" x14ac:dyDescent="0.55000000000000004">
      <c r="C48" t="s">
        <v>200</v>
      </c>
      <c r="D48" t="s">
        <v>128</v>
      </c>
      <c r="E48">
        <v>8500008</v>
      </c>
      <c r="F48" t="s">
        <v>13</v>
      </c>
      <c r="G48" t="s">
        <v>201</v>
      </c>
      <c r="H48">
        <v>5</v>
      </c>
      <c r="I48">
        <f t="shared" si="0"/>
        <v>15</v>
      </c>
      <c r="J48">
        <v>10</v>
      </c>
    </row>
    <row r="49" spans="1:10" x14ac:dyDescent="0.55000000000000004">
      <c r="A49" s="1"/>
      <c r="B49" s="1"/>
      <c r="C49" s="1" t="s">
        <v>121</v>
      </c>
      <c r="D49" s="1" t="s">
        <v>202</v>
      </c>
      <c r="E49" s="1" t="s">
        <v>203</v>
      </c>
      <c r="F49" s="1" t="s">
        <v>13</v>
      </c>
      <c r="G49" s="1" t="s">
        <v>204</v>
      </c>
      <c r="H49" s="1">
        <v>1</v>
      </c>
      <c r="I49">
        <f t="shared" si="0"/>
        <v>3</v>
      </c>
      <c r="J49">
        <v>0</v>
      </c>
    </row>
    <row r="50" spans="1:10" x14ac:dyDescent="0.55000000000000004">
      <c r="A50" t="s">
        <v>220</v>
      </c>
      <c r="C50" t="s">
        <v>211</v>
      </c>
      <c r="D50" t="s">
        <v>11</v>
      </c>
      <c r="E50" t="s">
        <v>12</v>
      </c>
      <c r="F50" t="s">
        <v>13</v>
      </c>
      <c r="G50" t="s">
        <v>14</v>
      </c>
      <c r="H50">
        <v>2</v>
      </c>
      <c r="I50">
        <f t="shared" si="0"/>
        <v>6</v>
      </c>
      <c r="J50">
        <v>0</v>
      </c>
    </row>
    <row r="51" spans="1:10" x14ac:dyDescent="0.55000000000000004">
      <c r="A51" t="s">
        <v>221</v>
      </c>
      <c r="C51" t="s">
        <v>212</v>
      </c>
      <c r="D51" t="s">
        <v>213</v>
      </c>
      <c r="E51" t="s">
        <v>212</v>
      </c>
      <c r="F51" t="s">
        <v>214</v>
      </c>
      <c r="G51" t="s">
        <v>215</v>
      </c>
      <c r="H51">
        <v>1</v>
      </c>
      <c r="I51">
        <f t="shared" si="0"/>
        <v>3</v>
      </c>
      <c r="J51">
        <v>4</v>
      </c>
    </row>
    <row r="52" spans="1:10" x14ac:dyDescent="0.55000000000000004">
      <c r="A52" t="s">
        <v>222</v>
      </c>
      <c r="C52" t="s">
        <v>216</v>
      </c>
      <c r="D52" t="s">
        <v>128</v>
      </c>
      <c r="E52">
        <v>530480810</v>
      </c>
      <c r="F52" t="s">
        <v>13</v>
      </c>
      <c r="G52" t="s">
        <v>217</v>
      </c>
      <c r="H52">
        <v>1</v>
      </c>
      <c r="I52">
        <f t="shared" si="0"/>
        <v>3</v>
      </c>
      <c r="J52">
        <v>4</v>
      </c>
    </row>
    <row r="53" spans="1:10" x14ac:dyDescent="0.55000000000000004">
      <c r="A53" t="s">
        <v>223</v>
      </c>
      <c r="C53" t="s">
        <v>218</v>
      </c>
      <c r="D53" t="s">
        <v>128</v>
      </c>
      <c r="E53">
        <v>510210800</v>
      </c>
      <c r="F53" t="s">
        <v>13</v>
      </c>
      <c r="G53" t="s">
        <v>207</v>
      </c>
      <c r="H53">
        <v>1</v>
      </c>
      <c r="I53">
        <f t="shared" si="0"/>
        <v>3</v>
      </c>
      <c r="J53">
        <v>0</v>
      </c>
    </row>
    <row r="54" spans="1:10" x14ac:dyDescent="0.55000000000000004">
      <c r="A54" s="1" t="s">
        <v>224</v>
      </c>
      <c r="B54" s="1"/>
      <c r="C54" s="1" t="s">
        <v>219</v>
      </c>
      <c r="D54" s="1" t="s">
        <v>128</v>
      </c>
      <c r="E54" s="1">
        <v>500798000</v>
      </c>
      <c r="F54" s="1" t="s">
        <v>13</v>
      </c>
      <c r="G54" s="1" t="s">
        <v>208</v>
      </c>
      <c r="H54" s="1">
        <v>8</v>
      </c>
      <c r="I54">
        <f t="shared" si="0"/>
        <v>24</v>
      </c>
      <c r="J54">
        <v>0</v>
      </c>
    </row>
    <row r="55" spans="1:10" x14ac:dyDescent="0.55000000000000004">
      <c r="A55" t="s">
        <v>225</v>
      </c>
      <c r="C55" t="s">
        <v>9</v>
      </c>
      <c r="D55" t="s">
        <v>11</v>
      </c>
      <c r="E55" t="s">
        <v>12</v>
      </c>
      <c r="F55" t="s">
        <v>13</v>
      </c>
      <c r="G55" t="s">
        <v>14</v>
      </c>
      <c r="H55">
        <v>6</v>
      </c>
      <c r="I55">
        <f>H55</f>
        <v>6</v>
      </c>
      <c r="J55">
        <v>0</v>
      </c>
    </row>
    <row r="56" spans="1:10" x14ac:dyDescent="0.55000000000000004">
      <c r="A56" t="s">
        <v>226</v>
      </c>
      <c r="C56" t="s">
        <v>41</v>
      </c>
      <c r="D56" t="s">
        <v>43</v>
      </c>
      <c r="E56" t="s">
        <v>44</v>
      </c>
      <c r="F56" t="s">
        <v>13</v>
      </c>
      <c r="G56" t="s">
        <v>45</v>
      </c>
      <c r="H56">
        <v>2</v>
      </c>
      <c r="I56">
        <f t="shared" ref="I56:I67" si="1">H56</f>
        <v>2</v>
      </c>
      <c r="J56">
        <v>0</v>
      </c>
    </row>
    <row r="57" spans="1:10" x14ac:dyDescent="0.55000000000000004">
      <c r="A57" t="s">
        <v>227</v>
      </c>
      <c r="C57" t="s">
        <v>61</v>
      </c>
      <c r="D57" t="s">
        <v>43</v>
      </c>
      <c r="E57" t="s">
        <v>228</v>
      </c>
      <c r="F57" t="s">
        <v>13</v>
      </c>
      <c r="G57" t="s">
        <v>229</v>
      </c>
      <c r="H57">
        <v>1</v>
      </c>
      <c r="I57">
        <f t="shared" si="1"/>
        <v>1</v>
      </c>
      <c r="J57">
        <v>0</v>
      </c>
    </row>
    <row r="58" spans="1:10" x14ac:dyDescent="0.55000000000000004">
      <c r="A58" t="s">
        <v>230</v>
      </c>
      <c r="C58" t="s">
        <v>51</v>
      </c>
      <c r="D58" t="s">
        <v>43</v>
      </c>
      <c r="E58" t="s">
        <v>52</v>
      </c>
      <c r="F58" t="s">
        <v>13</v>
      </c>
      <c r="G58" t="s">
        <v>53</v>
      </c>
      <c r="H58">
        <v>1</v>
      </c>
      <c r="I58">
        <f t="shared" si="1"/>
        <v>1</v>
      </c>
      <c r="J58">
        <v>0</v>
      </c>
    </row>
    <row r="59" spans="1:10" x14ac:dyDescent="0.55000000000000004">
      <c r="A59" t="s">
        <v>231</v>
      </c>
      <c r="C59" t="s">
        <v>232</v>
      </c>
      <c r="D59" t="s">
        <v>43</v>
      </c>
      <c r="E59" t="s">
        <v>233</v>
      </c>
      <c r="F59" t="s">
        <v>13</v>
      </c>
      <c r="G59" t="s">
        <v>234</v>
      </c>
      <c r="H59">
        <v>1</v>
      </c>
      <c r="I59">
        <f t="shared" si="1"/>
        <v>1</v>
      </c>
      <c r="J59">
        <v>0</v>
      </c>
    </row>
    <row r="60" spans="1:10" x14ac:dyDescent="0.55000000000000004">
      <c r="A60" t="s">
        <v>235</v>
      </c>
      <c r="C60" t="s">
        <v>81</v>
      </c>
      <c r="D60" t="s">
        <v>83</v>
      </c>
      <c r="E60" t="s">
        <v>84</v>
      </c>
      <c r="F60" t="s">
        <v>13</v>
      </c>
      <c r="G60" t="s">
        <v>85</v>
      </c>
      <c r="H60">
        <v>2</v>
      </c>
      <c r="I60">
        <f t="shared" si="1"/>
        <v>2</v>
      </c>
      <c r="J60">
        <v>0</v>
      </c>
    </row>
    <row r="61" spans="1:10" s="2" customFormat="1" x14ac:dyDescent="0.55000000000000004">
      <c r="A61" s="2" t="s">
        <v>110</v>
      </c>
      <c r="C61" s="2" t="s">
        <v>96</v>
      </c>
      <c r="D61" s="2" t="s">
        <v>98</v>
      </c>
      <c r="E61" s="2" t="s">
        <v>96</v>
      </c>
      <c r="F61" s="2" t="s">
        <v>13</v>
      </c>
      <c r="G61" s="2" t="s">
        <v>99</v>
      </c>
      <c r="H61" s="2">
        <v>1</v>
      </c>
      <c r="I61">
        <f t="shared" si="1"/>
        <v>1</v>
      </c>
      <c r="J61" s="2">
        <v>0</v>
      </c>
    </row>
    <row r="62" spans="1:10" x14ac:dyDescent="0.55000000000000004">
      <c r="A62" t="s">
        <v>130</v>
      </c>
      <c r="C62" t="s">
        <v>134</v>
      </c>
      <c r="D62" t="s">
        <v>133</v>
      </c>
      <c r="E62" t="s">
        <v>134</v>
      </c>
      <c r="F62" t="s">
        <v>13</v>
      </c>
      <c r="G62" t="s">
        <v>135</v>
      </c>
      <c r="H62">
        <v>1</v>
      </c>
      <c r="I62">
        <f t="shared" si="1"/>
        <v>1</v>
      </c>
      <c r="J62" s="2">
        <v>0</v>
      </c>
    </row>
    <row r="63" spans="1:10" s="2" customFormat="1" x14ac:dyDescent="0.55000000000000004">
      <c r="A63" s="2" t="s">
        <v>236</v>
      </c>
      <c r="C63" s="2" t="s">
        <v>237</v>
      </c>
      <c r="D63" s="2" t="s">
        <v>113</v>
      </c>
      <c r="E63" s="2" t="s">
        <v>238</v>
      </c>
      <c r="F63" s="2" t="s">
        <v>13</v>
      </c>
      <c r="G63" s="2" t="s">
        <v>239</v>
      </c>
      <c r="H63" s="2">
        <v>1</v>
      </c>
      <c r="I63">
        <f t="shared" si="1"/>
        <v>1</v>
      </c>
      <c r="J63" s="2">
        <v>0</v>
      </c>
    </row>
    <row r="64" spans="1:10" x14ac:dyDescent="0.55000000000000004">
      <c r="A64" t="s">
        <v>240</v>
      </c>
      <c r="C64" t="s">
        <v>241</v>
      </c>
      <c r="D64" t="s">
        <v>128</v>
      </c>
      <c r="E64">
        <v>22232061</v>
      </c>
      <c r="F64" t="s">
        <v>13</v>
      </c>
      <c r="G64" t="s">
        <v>151</v>
      </c>
      <c r="H64">
        <v>3</v>
      </c>
      <c r="I64">
        <f t="shared" si="1"/>
        <v>3</v>
      </c>
      <c r="J64" s="2">
        <v>0</v>
      </c>
    </row>
    <row r="65" spans="1:10" x14ac:dyDescent="0.55000000000000004">
      <c r="A65" t="s">
        <v>169</v>
      </c>
      <c r="C65" t="s">
        <v>242</v>
      </c>
      <c r="D65" t="s">
        <v>161</v>
      </c>
      <c r="E65" t="s">
        <v>243</v>
      </c>
      <c r="F65" t="s">
        <v>13</v>
      </c>
      <c r="G65" t="s">
        <v>244</v>
      </c>
      <c r="H65">
        <v>1</v>
      </c>
      <c r="I65">
        <f t="shared" si="1"/>
        <v>1</v>
      </c>
      <c r="J65" s="2">
        <v>0</v>
      </c>
    </row>
    <row r="66" spans="1:10" x14ac:dyDescent="0.55000000000000004">
      <c r="A66" t="s">
        <v>245</v>
      </c>
      <c r="C66" t="s">
        <v>246</v>
      </c>
      <c r="D66" t="s">
        <v>128</v>
      </c>
      <c r="E66">
        <v>22012067</v>
      </c>
      <c r="F66" t="s">
        <v>13</v>
      </c>
      <c r="G66" t="s">
        <v>191</v>
      </c>
      <c r="H66">
        <v>3</v>
      </c>
      <c r="I66">
        <f t="shared" si="1"/>
        <v>3</v>
      </c>
      <c r="J66" s="2">
        <v>0</v>
      </c>
    </row>
    <row r="67" spans="1:10" x14ac:dyDescent="0.55000000000000004">
      <c r="A67" s="1" t="s">
        <v>247</v>
      </c>
      <c r="B67" s="1"/>
      <c r="C67" s="1" t="s">
        <v>248</v>
      </c>
      <c r="D67" s="1" t="s">
        <v>128</v>
      </c>
      <c r="E67" s="1">
        <v>8510108</v>
      </c>
      <c r="F67" s="1" t="s">
        <v>13</v>
      </c>
      <c r="G67" s="1" t="s">
        <v>249</v>
      </c>
      <c r="H67" s="1">
        <v>18</v>
      </c>
      <c r="I67" s="1">
        <f t="shared" si="1"/>
        <v>18</v>
      </c>
      <c r="J67" s="1">
        <v>0</v>
      </c>
    </row>
    <row r="68" spans="1:10" x14ac:dyDescent="0.55000000000000004">
      <c r="A68" t="s">
        <v>250</v>
      </c>
      <c r="C68" t="s">
        <v>251</v>
      </c>
      <c r="D68" t="s">
        <v>11</v>
      </c>
      <c r="E68" t="s">
        <v>252</v>
      </c>
      <c r="F68" t="s">
        <v>13</v>
      </c>
      <c r="G68" t="s">
        <v>252</v>
      </c>
      <c r="H68">
        <v>2</v>
      </c>
      <c r="I68">
        <f>H68*6</f>
        <v>12</v>
      </c>
      <c r="J68" s="3">
        <v>15</v>
      </c>
    </row>
    <row r="69" spans="1:10" x14ac:dyDescent="0.55000000000000004">
      <c r="A69" t="s">
        <v>253</v>
      </c>
      <c r="C69" t="s">
        <v>254</v>
      </c>
      <c r="D69" t="s">
        <v>11</v>
      </c>
      <c r="E69" t="s">
        <v>12</v>
      </c>
      <c r="F69" t="s">
        <v>13</v>
      </c>
      <c r="G69" t="s">
        <v>14</v>
      </c>
      <c r="H69">
        <v>1</v>
      </c>
      <c r="I69">
        <f t="shared" ref="I69:I76" si="2">H69*6</f>
        <v>6</v>
      </c>
      <c r="J69" s="3">
        <v>0</v>
      </c>
    </row>
    <row r="70" spans="1:10" x14ac:dyDescent="0.55000000000000004">
      <c r="A70" t="s">
        <v>255</v>
      </c>
      <c r="C70" t="s">
        <v>61</v>
      </c>
      <c r="D70" t="s">
        <v>43</v>
      </c>
      <c r="E70" t="s">
        <v>62</v>
      </c>
      <c r="F70" t="s">
        <v>13</v>
      </c>
      <c r="G70" t="s">
        <v>63</v>
      </c>
      <c r="H70">
        <v>2</v>
      </c>
      <c r="I70">
        <f t="shared" si="2"/>
        <v>12</v>
      </c>
      <c r="J70" s="3">
        <v>0</v>
      </c>
    </row>
    <row r="71" spans="1:10" x14ac:dyDescent="0.55000000000000004">
      <c r="A71" t="s">
        <v>227</v>
      </c>
      <c r="C71" t="s">
        <v>270</v>
      </c>
      <c r="D71" t="s">
        <v>256</v>
      </c>
      <c r="E71" t="s">
        <v>257</v>
      </c>
      <c r="F71" t="s">
        <v>13</v>
      </c>
      <c r="G71" t="s">
        <v>258</v>
      </c>
      <c r="H71">
        <v>1</v>
      </c>
      <c r="I71">
        <f t="shared" si="2"/>
        <v>6</v>
      </c>
      <c r="J71" s="3">
        <v>10</v>
      </c>
    </row>
    <row r="72" spans="1:10" x14ac:dyDescent="0.55000000000000004">
      <c r="A72" t="s">
        <v>110</v>
      </c>
      <c r="C72" t="s">
        <v>259</v>
      </c>
      <c r="D72" t="s">
        <v>260</v>
      </c>
      <c r="E72" t="s">
        <v>259</v>
      </c>
      <c r="F72" t="s">
        <v>13</v>
      </c>
      <c r="G72" t="s">
        <v>261</v>
      </c>
      <c r="H72">
        <v>1</v>
      </c>
      <c r="I72">
        <f t="shared" si="2"/>
        <v>6</v>
      </c>
      <c r="J72" s="3">
        <v>7</v>
      </c>
    </row>
    <row r="73" spans="1:10" x14ac:dyDescent="0.55000000000000004">
      <c r="A73" t="s">
        <v>262</v>
      </c>
      <c r="C73" t="s">
        <v>263</v>
      </c>
      <c r="D73" t="s">
        <v>263</v>
      </c>
      <c r="E73" t="s">
        <v>263</v>
      </c>
      <c r="F73" t="s">
        <v>13</v>
      </c>
      <c r="G73" t="s">
        <v>264</v>
      </c>
      <c r="H73">
        <v>1</v>
      </c>
      <c r="I73">
        <f t="shared" si="2"/>
        <v>6</v>
      </c>
      <c r="J73" s="3">
        <v>7</v>
      </c>
    </row>
    <row r="74" spans="1:10" x14ac:dyDescent="0.55000000000000004">
      <c r="A74" t="s">
        <v>169</v>
      </c>
      <c r="C74" t="s">
        <v>265</v>
      </c>
      <c r="D74" t="s">
        <v>128</v>
      </c>
      <c r="E74">
        <v>530480410</v>
      </c>
      <c r="F74" t="s">
        <v>13</v>
      </c>
      <c r="G74" t="s">
        <v>266</v>
      </c>
      <c r="H74">
        <v>1</v>
      </c>
      <c r="I74">
        <f t="shared" si="2"/>
        <v>6</v>
      </c>
      <c r="J74" s="3">
        <v>7</v>
      </c>
    </row>
    <row r="75" spans="1:10" x14ac:dyDescent="0.55000000000000004">
      <c r="A75" t="s">
        <v>267</v>
      </c>
      <c r="C75" t="s">
        <v>268</v>
      </c>
      <c r="D75" t="s">
        <v>128</v>
      </c>
      <c r="E75">
        <v>510210400</v>
      </c>
      <c r="F75" t="s">
        <v>13</v>
      </c>
      <c r="G75" t="s">
        <v>210</v>
      </c>
      <c r="H75">
        <v>1</v>
      </c>
      <c r="I75">
        <f t="shared" si="2"/>
        <v>6</v>
      </c>
      <c r="J75" s="3">
        <v>0</v>
      </c>
    </row>
    <row r="76" spans="1:10" x14ac:dyDescent="0.55000000000000004">
      <c r="A76" s="1" t="s">
        <v>269</v>
      </c>
      <c r="B76" s="1"/>
      <c r="C76" s="1" t="s">
        <v>219</v>
      </c>
      <c r="D76" s="1" t="s">
        <v>128</v>
      </c>
      <c r="E76" s="1">
        <v>500798000</v>
      </c>
      <c r="F76" s="1" t="s">
        <v>13</v>
      </c>
      <c r="G76" s="1" t="s">
        <v>208</v>
      </c>
      <c r="H76" s="1">
        <v>4</v>
      </c>
      <c r="I76" s="1">
        <f t="shared" si="2"/>
        <v>24</v>
      </c>
      <c r="J76" s="4">
        <v>0</v>
      </c>
    </row>
    <row r="77" spans="1:10" x14ac:dyDescent="0.55000000000000004">
      <c r="A77" t="s">
        <v>253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14</v>
      </c>
      <c r="H77">
        <v>1</v>
      </c>
      <c r="I77">
        <f>H77*2</f>
        <v>2</v>
      </c>
      <c r="J77" s="3">
        <v>0</v>
      </c>
    </row>
    <row r="78" spans="1:10" x14ac:dyDescent="0.55000000000000004">
      <c r="A78" t="s">
        <v>271</v>
      </c>
      <c r="B78" t="s">
        <v>272</v>
      </c>
      <c r="C78" t="s">
        <v>273</v>
      </c>
      <c r="D78" t="s">
        <v>274</v>
      </c>
      <c r="E78" t="s">
        <v>272</v>
      </c>
      <c r="F78" t="s">
        <v>13</v>
      </c>
      <c r="G78" t="s">
        <v>275</v>
      </c>
      <c r="H78">
        <v>1</v>
      </c>
      <c r="I78">
        <f t="shared" ref="I78:I81" si="3">H78*2</f>
        <v>2</v>
      </c>
      <c r="J78">
        <v>0</v>
      </c>
    </row>
    <row r="79" spans="1:10" x14ac:dyDescent="0.55000000000000004">
      <c r="A79" t="s">
        <v>169</v>
      </c>
      <c r="B79" t="s">
        <v>276</v>
      </c>
      <c r="C79" t="s">
        <v>277</v>
      </c>
      <c r="D79" t="s">
        <v>128</v>
      </c>
      <c r="E79">
        <v>22053061</v>
      </c>
      <c r="F79" t="s">
        <v>13</v>
      </c>
      <c r="G79" t="s">
        <v>278</v>
      </c>
      <c r="H79">
        <v>1</v>
      </c>
      <c r="I79">
        <f t="shared" si="3"/>
        <v>2</v>
      </c>
      <c r="J79">
        <v>0</v>
      </c>
    </row>
    <row r="80" spans="1:10" x14ac:dyDescent="0.55000000000000004">
      <c r="B80" t="s">
        <v>279</v>
      </c>
      <c r="H80">
        <v>1</v>
      </c>
      <c r="I80">
        <f t="shared" si="3"/>
        <v>2</v>
      </c>
      <c r="J80">
        <v>0</v>
      </c>
    </row>
    <row r="81" spans="2:10" x14ac:dyDescent="0.55000000000000004">
      <c r="B81" t="s">
        <v>194</v>
      </c>
      <c r="H81">
        <v>1</v>
      </c>
      <c r="I81">
        <f t="shared" si="3"/>
        <v>2</v>
      </c>
      <c r="J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digikeyV0.4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Sato</dc:creator>
  <cp:lastModifiedBy>Matthew Michael Sato</cp:lastModifiedBy>
  <dcterms:created xsi:type="dcterms:W3CDTF">2025-08-13T22:44:45Z</dcterms:created>
  <dcterms:modified xsi:type="dcterms:W3CDTF">2025-08-14T17:11:34Z</dcterms:modified>
</cp:coreProperties>
</file>